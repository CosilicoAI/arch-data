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113209\AppData\Local\Microsoft\Windows\INetCache\Content.Outlook\ZJXH92QY\"/>
    </mc:Choice>
  </mc:AlternateContent>
  <xr:revisionPtr revIDLastSave="0" documentId="13_ncr:1_{8654E326-D83B-4F81-AD8F-75F6EF9E7BE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Chargeable Dwellings 2023" sheetId="6" r:id="rId1"/>
  </sheets>
  <definedNames>
    <definedName name="_xlnm.Print_Area" localSheetId="0">'Chargeable Dwellings 2023'!$A$1:$J$41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1" i="6" l="1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10" i="6"/>
  <c r="J9" i="6"/>
  <c r="J8" i="6"/>
  <c r="C8" i="6"/>
  <c r="D8" i="6"/>
  <c r="E8" i="6"/>
  <c r="F8" i="6"/>
  <c r="G8" i="6"/>
  <c r="H8" i="6"/>
  <c r="I8" i="6"/>
  <c r="B8" i="6"/>
</calcChain>
</file>

<file path=xl/sharedStrings.xml><?xml version="1.0" encoding="utf-8"?>
<sst xmlns="http://schemas.openxmlformats.org/spreadsheetml/2006/main" count="65" uniqueCount="65">
  <si>
    <t xml:space="preserve">An Official Statistics Publication for Scotland </t>
  </si>
  <si>
    <t>West Lothian</t>
  </si>
  <si>
    <t>West Dunbartonshire</t>
  </si>
  <si>
    <t>Stirling</t>
  </si>
  <si>
    <t>South Lanarkshire</t>
  </si>
  <si>
    <t>South Ayrshire</t>
  </si>
  <si>
    <t>Shetland Islands</t>
  </si>
  <si>
    <t>Scottish Borders</t>
  </si>
  <si>
    <t>Renfrewshire</t>
  </si>
  <si>
    <t>Perth &amp; Kinross</t>
  </si>
  <si>
    <t>Orkney Islands</t>
  </si>
  <si>
    <t>North Lanarkshire</t>
  </si>
  <si>
    <t>North Ayrshire</t>
  </si>
  <si>
    <t>Moray</t>
  </si>
  <si>
    <t>Midlothian</t>
  </si>
  <si>
    <t>Inverclyde</t>
  </si>
  <si>
    <t>Highland</t>
  </si>
  <si>
    <t>Glasgow City</t>
  </si>
  <si>
    <t>Fife</t>
  </si>
  <si>
    <t>Falkirk</t>
  </si>
  <si>
    <t>East Renfrewshire</t>
  </si>
  <si>
    <t>East Lothian</t>
  </si>
  <si>
    <t>East Dunbartonshire</t>
  </si>
  <si>
    <t>East Ayrshire</t>
  </si>
  <si>
    <t>Dundee City</t>
  </si>
  <si>
    <t>Dumfries &amp; Galloway</t>
  </si>
  <si>
    <t>Clackmannanshire</t>
  </si>
  <si>
    <t>Argyll &amp; Bute</t>
  </si>
  <si>
    <t>Angus</t>
  </si>
  <si>
    <t>Aberdeenshire</t>
  </si>
  <si>
    <t>Aberdeen City</t>
  </si>
  <si>
    <t>Scotland</t>
  </si>
  <si>
    <t>8/9</t>
  </si>
  <si>
    <t>7/9</t>
  </si>
  <si>
    <t>6/9</t>
  </si>
  <si>
    <t>Total</t>
  </si>
  <si>
    <t>Band H</t>
  </si>
  <si>
    <t>Band G</t>
  </si>
  <si>
    <t>Band F</t>
  </si>
  <si>
    <t>Band E</t>
  </si>
  <si>
    <t>Band D</t>
  </si>
  <si>
    <t>Band C</t>
  </si>
  <si>
    <t>Band B</t>
  </si>
  <si>
    <t>Band A</t>
  </si>
  <si>
    <t>£35,001
to £45,000</t>
  </si>
  <si>
    <t>£27,001
to £35,000</t>
  </si>
  <si>
    <t>£45,001
to £58,000</t>
  </si>
  <si>
    <t>£58,001
to £80,000</t>
  </si>
  <si>
    <t>£80,001
to £106,000</t>
  </si>
  <si>
    <t>Under
£27,000</t>
  </si>
  <si>
    <t>Over
£212,000</t>
  </si>
  <si>
    <t>£106,001
to £212,000</t>
  </si>
  <si>
    <t>Ratio to Band D</t>
  </si>
  <si>
    <t>Valuation band ranges 
(1991 values)</t>
  </si>
  <si>
    <t>473/360</t>
  </si>
  <si>
    <t>585/360</t>
  </si>
  <si>
    <t>705/360</t>
  </si>
  <si>
    <t>882/360</t>
  </si>
  <si>
    <t>City of Edinburgh</t>
  </si>
  <si>
    <t>Na h-Eileanan Siar</t>
  </si>
  <si>
    <t>Note: The list of local authorities were re-ordered in 2019 after the relabelling of "City of Edinburgh" (from "Edinburgh, City of") and "Na h-Eileanan Siar" (from "Eilean Siar").</t>
  </si>
  <si>
    <t>More information on Official Statistics can be found at:</t>
  </si>
  <si>
    <t>https://www.gov.scot/about/how-government-is-run/statistics-and-research/</t>
  </si>
  <si>
    <r>
      <rPr>
        <b/>
        <sz val="10"/>
        <rFont val="Arial"/>
        <family val="2"/>
      </rPr>
      <t>Source:</t>
    </r>
    <r>
      <rPr>
        <sz val="10"/>
        <rFont val="Arial"/>
        <family val="2"/>
      </rPr>
      <t xml:space="preserve"> Number of chargeable dwellings on the valuation list as reported by local authorities in the statistical return 'Council Tax Base', 4 September 2023.</t>
    </r>
  </si>
  <si>
    <t>Number of Chargeable Dwellings - September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</si>
</sst>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0.0%"/>
  </numFmts>
  <fonts count="12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u/>
      <sz val="8.5"/>
      <color indexed="12"/>
      <name val="Arial"/>
      <family val="2"/>
    </font>
    <font>
      <u/>
      <sz val="10"/>
      <color indexed="12"/>
      <name val="Arial"/>
      <family val="2"/>
    </font>
    <font>
      <sz val="12"/>
      <color theme="1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10"/>
      <color theme="0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theme="4" tint="-0.499984740745262"/>
      </bottom>
      <diagonal/>
    </border>
    <border>
      <left/>
      <right/>
      <top/>
      <bottom style="medium">
        <color indexed="64"/>
      </bottom>
      <diagonal/>
    </border>
    <border>
      <left style="thin">
        <color theme="0"/>
      </left>
      <right/>
      <top/>
      <bottom/>
      <diagonal/>
    </border>
  </borders>
  <cellStyleXfs count="1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2" fillId="0" borderId="0"/>
    <xf numFmtId="0" fontId="2" fillId="0" borderId="0"/>
    <xf numFmtId="164" fontId="2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4" fillId="0" borderId="0" applyNumberFormat="0" applyFill="0" applyBorder="0" applyAlignment="0" applyProtection="0">
      <alignment vertical="top"/>
      <protection locked="0"/>
    </xf>
    <xf numFmtId="0" fontId="2" fillId="0" borderId="0"/>
    <xf numFmtId="0" fontId="2" fillId="0" borderId="0"/>
    <xf numFmtId="0" fontId="1" fillId="0" borderId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8">
    <xf numFmtId="0" fontId="0" fillId="0" borderId="0" xfId="0"/>
    <xf numFmtId="0" fontId="0" fillId="3" borderId="0" xfId="0" applyFill="1"/>
    <xf numFmtId="0" fontId="0" fillId="3" borderId="0" xfId="0" applyFill="1" applyAlignment="1">
      <alignment vertical="center"/>
    </xf>
    <xf numFmtId="0" fontId="10" fillId="2" borderId="0" xfId="0" applyFont="1" applyFill="1" applyAlignment="1">
      <alignment vertical="center"/>
    </xf>
    <xf numFmtId="0" fontId="8" fillId="2" borderId="0" xfId="0" applyFont="1" applyFill="1" applyAlignment="1">
      <alignment horizontal="right" vertical="center"/>
    </xf>
    <xf numFmtId="0" fontId="10" fillId="2" borderId="0" xfId="0" applyFont="1" applyFill="1" applyAlignment="1">
      <alignment horizontal="righ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right" vertical="center" wrapText="1"/>
    </xf>
    <xf numFmtId="0" fontId="9" fillId="3" borderId="0" xfId="0" applyFont="1" applyFill="1" applyAlignment="1">
      <alignment vertical="center"/>
    </xf>
    <xf numFmtId="3" fontId="0" fillId="3" borderId="0" xfId="0" applyNumberFormat="1" applyFill="1" applyAlignment="1">
      <alignment vertical="center"/>
    </xf>
    <xf numFmtId="0" fontId="0" fillId="4" borderId="0" xfId="0" applyFill="1" applyAlignment="1">
      <alignment vertical="center"/>
    </xf>
    <xf numFmtId="0" fontId="7" fillId="3" borderId="0" xfId="0" applyFont="1" applyFill="1" applyAlignment="1">
      <alignment vertical="center"/>
    </xf>
    <xf numFmtId="3" fontId="6" fillId="3" borderId="0" xfId="0" applyNumberFormat="1" applyFont="1" applyFill="1" applyAlignment="1" applyProtection="1">
      <alignment vertical="center"/>
      <protection locked="0"/>
    </xf>
    <xf numFmtId="0" fontId="5" fillId="3" borderId="0" xfId="0" applyFont="1" applyFill="1" applyAlignment="1">
      <alignment vertical="center"/>
    </xf>
    <xf numFmtId="165" fontId="0" fillId="3" borderId="0" xfId="11" applyNumberFormat="1" applyFont="1" applyFill="1"/>
    <xf numFmtId="3" fontId="11" fillId="3" borderId="0" xfId="0" applyNumberFormat="1" applyFont="1" applyFill="1" applyAlignment="1">
      <alignment vertical="center"/>
    </xf>
    <xf numFmtId="3" fontId="2" fillId="4" borderId="0" xfId="0" applyNumberFormat="1" applyFont="1" applyFill="1" applyAlignment="1">
      <alignment vertical="center"/>
    </xf>
    <xf numFmtId="3" fontId="2" fillId="3" borderId="0" xfId="0" applyNumberFormat="1" applyFont="1" applyFill="1" applyAlignment="1">
      <alignment vertical="center"/>
    </xf>
    <xf numFmtId="3" fontId="2" fillId="3" borderId="1" xfId="0" applyNumberFormat="1" applyFont="1" applyFill="1" applyBorder="1" applyAlignment="1">
      <alignment vertical="center"/>
    </xf>
    <xf numFmtId="3" fontId="2" fillId="3" borderId="2" xfId="0" applyNumberFormat="1" applyFont="1" applyFill="1" applyBorder="1" applyAlignment="1">
      <alignment vertical="center"/>
    </xf>
    <xf numFmtId="0" fontId="2" fillId="3" borderId="0" xfId="0" quotePrefix="1" applyFont="1" applyFill="1"/>
    <xf numFmtId="0" fontId="2" fillId="3" borderId="0" xfId="0" applyFont="1" applyFill="1"/>
    <xf numFmtId="0" fontId="2" fillId="5" borderId="0" xfId="7" applyFill="1"/>
    <xf numFmtId="0" fontId="0" fillId="5" borderId="3" xfId="0" applyFill="1" applyBorder="1"/>
    <xf numFmtId="0" fontId="0" fillId="5" borderId="0" xfId="0" applyFill="1"/>
    <xf numFmtId="0" fontId="4" fillId="0" borderId="0" xfId="1" applyFont="1" applyAlignment="1" applyProtection="1"/>
    <xf numFmtId="0" fontId="2" fillId="5" borderId="0" xfId="0" quotePrefix="1" applyFont="1" applyFill="1"/>
    <xf numFmtId="165" fontId="0" fillId="3" borderId="0" xfId="11" applyNumberFormat="1" applyFont="1" applyFill="1" applyAlignment="1">
      <alignment vertical="center"/>
    </xf>
  </cellXfs>
  <cellStyles count="12">
    <cellStyle name="%" xfId="3" xr:uid="{00000000-0005-0000-0000-000000000000}"/>
    <cellStyle name="Comma 2" xfId="4" xr:uid="{00000000-0005-0000-0000-000001000000}"/>
    <cellStyle name="Hyperlink" xfId="1" builtinId="8"/>
    <cellStyle name="Hyperlink 2" xfId="6" xr:uid="{00000000-0005-0000-0000-000003000000}"/>
    <cellStyle name="Hyperlink 3" xfId="5" xr:uid="{00000000-0005-0000-0000-000004000000}"/>
    <cellStyle name="Normal" xfId="0" builtinId="0"/>
    <cellStyle name="Normal 2" xfId="7" xr:uid="{00000000-0005-0000-0000-000006000000}"/>
    <cellStyle name="Normal 2 2" xfId="8" xr:uid="{00000000-0005-0000-0000-000007000000}"/>
    <cellStyle name="Normal 3" xfId="9" xr:uid="{00000000-0005-0000-0000-000008000000}"/>
    <cellStyle name="Normal 4" xfId="2" xr:uid="{00000000-0005-0000-0000-000009000000}"/>
    <cellStyle name="Per cent" xfId="11" builtinId="5"/>
    <cellStyle name="Percent 2" xfId="10" xr:uid="{00000000-0005-0000-0000-00000B000000}"/>
  </cellStyles>
  <dxfs count="0"/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gov.scot/about/how-government-is-run/statistics-and-research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2"/>
  <sheetViews>
    <sheetView tabSelected="1" zoomScaleNormal="100" workbookViewId="0">
      <selection activeCell="G1" sqref="G1"/>
    </sheetView>
  </sheetViews>
  <sheetFormatPr defaultColWidth="9.1796875" defaultRowHeight="12.5" x14ac:dyDescent="0.25"/>
  <cols>
    <col min="1" max="1" width="20.1796875" style="1" customWidth="1"/>
    <col min="2" max="9" width="12.7265625" style="1" customWidth="1"/>
    <col min="10" max="10" width="16.54296875" style="1" customWidth="1"/>
    <col min="11" max="11" width="4.1796875" style="1" customWidth="1"/>
    <col min="12" max="12" width="9" style="1" customWidth="1"/>
    <col min="13" max="13" width="10.26953125" style="1" customWidth="1"/>
    <col min="14" max="14" width="6.6328125" style="1" customWidth="1"/>
    <col min="15" max="16384" width="9.1796875" style="1"/>
  </cols>
  <sheetData>
    <row r="1" spans="1:14" ht="20.149999999999999" customHeight="1" x14ac:dyDescent="0.25">
      <c r="A1" s="11" t="s">
        <v>64</v>
      </c>
    </row>
    <row r="2" spans="1:14" s="2" customFormat="1" ht="18" customHeight="1" x14ac:dyDescent="0.25">
      <c r="A2" s="12" t="s">
        <v>0</v>
      </c>
      <c r="B2" s="13"/>
      <c r="C2" s="13"/>
      <c r="D2" s="13"/>
      <c r="E2" s="13"/>
      <c r="F2" s="13"/>
      <c r="G2" s="13"/>
      <c r="H2" s="13"/>
      <c r="I2" s="13"/>
      <c r="J2" s="13"/>
    </row>
    <row r="3" spans="1:14" ht="18" customHeight="1" x14ac:dyDescent="0.25">
      <c r="A3" s="22" t="s">
        <v>61</v>
      </c>
      <c r="B3" s="23"/>
      <c r="C3" s="24"/>
      <c r="D3" s="25" t="s">
        <v>62</v>
      </c>
      <c r="E3" s="26"/>
      <c r="F3" s="26"/>
      <c r="G3" s="26"/>
      <c r="H3" s="26"/>
      <c r="I3" s="26"/>
      <c r="J3" s="14"/>
    </row>
    <row r="4" spans="1:14" ht="18" customHeight="1" x14ac:dyDescent="0.25">
      <c r="A4" s="22"/>
      <c r="B4" s="24"/>
      <c r="C4" s="24"/>
      <c r="D4" s="25"/>
      <c r="E4" s="26"/>
      <c r="F4" s="26"/>
      <c r="G4" s="26"/>
      <c r="H4" s="26"/>
      <c r="I4" s="26"/>
      <c r="J4" s="14"/>
    </row>
    <row r="5" spans="1:14" s="2" customFormat="1" ht="13" x14ac:dyDescent="0.25">
      <c r="A5" s="3"/>
      <c r="B5" s="4" t="s">
        <v>43</v>
      </c>
      <c r="C5" s="4" t="s">
        <v>42</v>
      </c>
      <c r="D5" s="4" t="s">
        <v>41</v>
      </c>
      <c r="E5" s="4" t="s">
        <v>40</v>
      </c>
      <c r="F5" s="4" t="s">
        <v>39</v>
      </c>
      <c r="G5" s="4" t="s">
        <v>38</v>
      </c>
      <c r="H5" s="4" t="s">
        <v>37</v>
      </c>
      <c r="I5" s="4" t="s">
        <v>36</v>
      </c>
      <c r="J5" s="4" t="s">
        <v>35</v>
      </c>
    </row>
    <row r="6" spans="1:14" s="2" customFormat="1" ht="29.25" customHeight="1" x14ac:dyDescent="0.25">
      <c r="A6" s="6" t="s">
        <v>53</v>
      </c>
      <c r="B6" s="7" t="s">
        <v>49</v>
      </c>
      <c r="C6" s="7" t="s">
        <v>45</v>
      </c>
      <c r="D6" s="7" t="s">
        <v>44</v>
      </c>
      <c r="E6" s="7" t="s">
        <v>46</v>
      </c>
      <c r="F6" s="7" t="s">
        <v>47</v>
      </c>
      <c r="G6" s="7" t="s">
        <v>48</v>
      </c>
      <c r="H6" s="7" t="s">
        <v>51</v>
      </c>
      <c r="I6" s="7" t="s">
        <v>50</v>
      </c>
      <c r="J6" s="5"/>
    </row>
    <row r="7" spans="1:14" s="2" customFormat="1" x14ac:dyDescent="0.25">
      <c r="A7" s="3" t="s">
        <v>52</v>
      </c>
      <c r="B7" s="5" t="s">
        <v>34</v>
      </c>
      <c r="C7" s="5" t="s">
        <v>33</v>
      </c>
      <c r="D7" s="5" t="s">
        <v>32</v>
      </c>
      <c r="E7" s="5">
        <v>1</v>
      </c>
      <c r="F7" s="5" t="s">
        <v>54</v>
      </c>
      <c r="G7" s="5" t="s">
        <v>55</v>
      </c>
      <c r="H7" s="5" t="s">
        <v>56</v>
      </c>
      <c r="I7" s="5" t="s">
        <v>57</v>
      </c>
      <c r="J7" s="5"/>
    </row>
    <row r="8" spans="1:14" s="2" customFormat="1" ht="13" x14ac:dyDescent="0.25">
      <c r="A8" s="8" t="s">
        <v>31</v>
      </c>
      <c r="B8" s="15">
        <f>SUM(B9:B40)</f>
        <v>497080</v>
      </c>
      <c r="C8" s="15">
        <f t="shared" ref="C8:I8" si="0">SUM(C9:C40)</f>
        <v>579303</v>
      </c>
      <c r="D8" s="15">
        <f t="shared" si="0"/>
        <v>419799</v>
      </c>
      <c r="E8" s="15">
        <f t="shared" si="0"/>
        <v>360254</v>
      </c>
      <c r="F8" s="15">
        <f t="shared" si="0"/>
        <v>358243</v>
      </c>
      <c r="G8" s="15">
        <f t="shared" si="0"/>
        <v>214726</v>
      </c>
      <c r="H8" s="15">
        <f t="shared" si="0"/>
        <v>138126</v>
      </c>
      <c r="I8" s="15">
        <f t="shared" si="0"/>
        <v>14197</v>
      </c>
      <c r="J8" s="15">
        <f>SUM(B8:I8)</f>
        <v>2581728</v>
      </c>
      <c r="L8" s="8"/>
      <c r="M8" s="9"/>
      <c r="N8" s="27"/>
    </row>
    <row r="9" spans="1:14" s="2" customFormat="1" ht="13" x14ac:dyDescent="0.25">
      <c r="A9" s="10" t="s">
        <v>30</v>
      </c>
      <c r="B9" s="16">
        <v>19977</v>
      </c>
      <c r="C9" s="16">
        <v>26326</v>
      </c>
      <c r="D9" s="16">
        <v>18860</v>
      </c>
      <c r="E9" s="16">
        <v>15420</v>
      </c>
      <c r="F9" s="16">
        <v>14867</v>
      </c>
      <c r="G9" s="16">
        <v>8989</v>
      </c>
      <c r="H9" s="16">
        <v>8096</v>
      </c>
      <c r="I9" s="16">
        <v>1109</v>
      </c>
      <c r="J9" s="16">
        <f>SUM(B9:I9)</f>
        <v>113644</v>
      </c>
      <c r="L9" s="8"/>
      <c r="M9" s="9"/>
      <c r="N9" s="27"/>
    </row>
    <row r="10" spans="1:14" s="2" customFormat="1" x14ac:dyDescent="0.25">
      <c r="A10" s="2" t="s">
        <v>29</v>
      </c>
      <c r="B10" s="17">
        <v>19103</v>
      </c>
      <c r="C10" s="17">
        <v>15643</v>
      </c>
      <c r="D10" s="17">
        <v>14134</v>
      </c>
      <c r="E10" s="17">
        <v>18200</v>
      </c>
      <c r="F10" s="17">
        <v>22276</v>
      </c>
      <c r="G10" s="17">
        <v>17328</v>
      </c>
      <c r="H10" s="17">
        <v>11297</v>
      </c>
      <c r="I10" s="17">
        <v>626</v>
      </c>
      <c r="J10" s="17">
        <f>SUM(B10:I10)</f>
        <v>118607</v>
      </c>
      <c r="L10" s="9"/>
      <c r="M10" s="9"/>
    </row>
    <row r="11" spans="1:14" s="2" customFormat="1" x14ac:dyDescent="0.25">
      <c r="A11" s="10" t="s">
        <v>28</v>
      </c>
      <c r="B11" s="16">
        <v>14244</v>
      </c>
      <c r="C11" s="16">
        <v>12601</v>
      </c>
      <c r="D11" s="16">
        <v>7218</v>
      </c>
      <c r="E11" s="16">
        <v>8949</v>
      </c>
      <c r="F11" s="16">
        <v>8116</v>
      </c>
      <c r="G11" s="16">
        <v>3263</v>
      </c>
      <c r="H11" s="16">
        <v>1753</v>
      </c>
      <c r="I11" s="16">
        <v>150</v>
      </c>
      <c r="J11" s="16">
        <f t="shared" ref="J11:J40" si="1">SUM(B11:I11)</f>
        <v>56294</v>
      </c>
    </row>
    <row r="12" spans="1:14" s="2" customFormat="1" x14ac:dyDescent="0.25">
      <c r="A12" s="2" t="s">
        <v>27</v>
      </c>
      <c r="B12" s="17">
        <v>6955</v>
      </c>
      <c r="C12" s="17">
        <v>9747</v>
      </c>
      <c r="D12" s="17">
        <v>8977</v>
      </c>
      <c r="E12" s="17">
        <v>6176</v>
      </c>
      <c r="F12" s="17">
        <v>7468</v>
      </c>
      <c r="G12" s="17">
        <v>4417</v>
      </c>
      <c r="H12" s="17">
        <v>2989</v>
      </c>
      <c r="I12" s="17">
        <v>232</v>
      </c>
      <c r="J12" s="17">
        <f t="shared" si="1"/>
        <v>46961</v>
      </c>
    </row>
    <row r="13" spans="1:14" s="2" customFormat="1" x14ac:dyDescent="0.25">
      <c r="A13" s="10" t="s">
        <v>58</v>
      </c>
      <c r="B13" s="16">
        <v>20660</v>
      </c>
      <c r="C13" s="16">
        <v>45088</v>
      </c>
      <c r="D13" s="16">
        <v>43550</v>
      </c>
      <c r="E13" s="16">
        <v>40309</v>
      </c>
      <c r="F13" s="16">
        <v>41430</v>
      </c>
      <c r="G13" s="16">
        <v>25362</v>
      </c>
      <c r="H13" s="16">
        <v>23198</v>
      </c>
      <c r="I13" s="16">
        <v>4240</v>
      </c>
      <c r="J13" s="16">
        <f t="shared" si="1"/>
        <v>243837</v>
      </c>
    </row>
    <row r="14" spans="1:14" s="2" customFormat="1" x14ac:dyDescent="0.25">
      <c r="A14" s="2" t="s">
        <v>26</v>
      </c>
      <c r="B14" s="17">
        <v>5960</v>
      </c>
      <c r="C14" s="17">
        <v>7094</v>
      </c>
      <c r="D14" s="17">
        <v>2131</v>
      </c>
      <c r="E14" s="17">
        <v>2778</v>
      </c>
      <c r="F14" s="17">
        <v>3440</v>
      </c>
      <c r="G14" s="17">
        <v>2085</v>
      </c>
      <c r="H14" s="17">
        <v>921</v>
      </c>
      <c r="I14" s="17">
        <v>48</v>
      </c>
      <c r="J14" s="17">
        <f t="shared" si="1"/>
        <v>24457</v>
      </c>
    </row>
    <row r="15" spans="1:14" s="2" customFormat="1" x14ac:dyDescent="0.25">
      <c r="A15" s="10" t="s">
        <v>25</v>
      </c>
      <c r="B15" s="16">
        <v>10460</v>
      </c>
      <c r="C15" s="16">
        <v>21966</v>
      </c>
      <c r="D15" s="16">
        <v>12163</v>
      </c>
      <c r="E15" s="16">
        <v>10260</v>
      </c>
      <c r="F15" s="16">
        <v>10739</v>
      </c>
      <c r="G15" s="16">
        <v>5511</v>
      </c>
      <c r="H15" s="16">
        <v>2612</v>
      </c>
      <c r="I15" s="16">
        <v>155</v>
      </c>
      <c r="J15" s="16">
        <f t="shared" si="1"/>
        <v>73866</v>
      </c>
    </row>
    <row r="16" spans="1:14" s="2" customFormat="1" x14ac:dyDescent="0.25">
      <c r="A16" s="2" t="s">
        <v>24</v>
      </c>
      <c r="B16" s="17">
        <v>24727</v>
      </c>
      <c r="C16" s="17">
        <v>15689</v>
      </c>
      <c r="D16" s="17">
        <v>8868</v>
      </c>
      <c r="E16" s="17">
        <v>9047</v>
      </c>
      <c r="F16" s="17">
        <v>6987</v>
      </c>
      <c r="G16" s="17">
        <v>2472</v>
      </c>
      <c r="H16" s="17">
        <v>1118</v>
      </c>
      <c r="I16" s="17">
        <v>32</v>
      </c>
      <c r="J16" s="17">
        <f t="shared" si="1"/>
        <v>68940</v>
      </c>
    </row>
    <row r="17" spans="1:10" s="2" customFormat="1" x14ac:dyDescent="0.25">
      <c r="A17" s="10" t="s">
        <v>23</v>
      </c>
      <c r="B17" s="16">
        <v>24694</v>
      </c>
      <c r="C17" s="16">
        <v>9079</v>
      </c>
      <c r="D17" s="16">
        <v>5592</v>
      </c>
      <c r="E17" s="16">
        <v>7031</v>
      </c>
      <c r="F17" s="16">
        <v>6778</v>
      </c>
      <c r="G17" s="16">
        <v>3767</v>
      </c>
      <c r="H17" s="16">
        <v>1045</v>
      </c>
      <c r="I17" s="16">
        <v>49</v>
      </c>
      <c r="J17" s="16">
        <f t="shared" si="1"/>
        <v>58035</v>
      </c>
    </row>
    <row r="18" spans="1:10" s="2" customFormat="1" x14ac:dyDescent="0.25">
      <c r="A18" s="2" t="s">
        <v>22</v>
      </c>
      <c r="B18" s="17">
        <v>1020</v>
      </c>
      <c r="C18" s="17">
        <v>3540</v>
      </c>
      <c r="D18" s="17">
        <v>8303</v>
      </c>
      <c r="E18" s="17">
        <v>8626</v>
      </c>
      <c r="F18" s="17">
        <v>10541</v>
      </c>
      <c r="G18" s="17">
        <v>7258</v>
      </c>
      <c r="H18" s="17">
        <v>7095</v>
      </c>
      <c r="I18" s="17">
        <v>662</v>
      </c>
      <c r="J18" s="17">
        <f t="shared" si="1"/>
        <v>47045</v>
      </c>
    </row>
    <row r="19" spans="1:10" s="2" customFormat="1" x14ac:dyDescent="0.25">
      <c r="A19" s="10" t="s">
        <v>21</v>
      </c>
      <c r="B19" s="16">
        <v>1116</v>
      </c>
      <c r="C19" s="16">
        <v>9110</v>
      </c>
      <c r="D19" s="16">
        <v>15073</v>
      </c>
      <c r="E19" s="16">
        <v>6777</v>
      </c>
      <c r="F19" s="16">
        <v>6915</v>
      </c>
      <c r="G19" s="16">
        <v>6023</v>
      </c>
      <c r="H19" s="16">
        <v>5165</v>
      </c>
      <c r="I19" s="16">
        <v>703</v>
      </c>
      <c r="J19" s="16">
        <f t="shared" si="1"/>
        <v>50882</v>
      </c>
    </row>
    <row r="20" spans="1:10" s="2" customFormat="1" x14ac:dyDescent="0.25">
      <c r="A20" s="2" t="s">
        <v>20</v>
      </c>
      <c r="B20" s="17">
        <v>1194</v>
      </c>
      <c r="C20" s="17">
        <v>5010</v>
      </c>
      <c r="D20" s="17">
        <v>3977</v>
      </c>
      <c r="E20" s="17">
        <v>6783</v>
      </c>
      <c r="F20" s="17">
        <v>8462</v>
      </c>
      <c r="G20" s="17">
        <v>6693</v>
      </c>
      <c r="H20" s="17">
        <v>6963</v>
      </c>
      <c r="I20" s="17">
        <v>777</v>
      </c>
      <c r="J20" s="17">
        <f t="shared" si="1"/>
        <v>39859</v>
      </c>
    </row>
    <row r="21" spans="1:10" s="2" customFormat="1" x14ac:dyDescent="0.25">
      <c r="A21" s="10" t="s">
        <v>19</v>
      </c>
      <c r="B21" s="16">
        <v>21214</v>
      </c>
      <c r="C21" s="16">
        <v>18886</v>
      </c>
      <c r="D21" s="16">
        <v>6965</v>
      </c>
      <c r="E21" s="16">
        <v>9265</v>
      </c>
      <c r="F21" s="16">
        <v>9136</v>
      </c>
      <c r="G21" s="16">
        <v>6008</v>
      </c>
      <c r="H21" s="16">
        <v>3053</v>
      </c>
      <c r="I21" s="16">
        <v>79</v>
      </c>
      <c r="J21" s="16">
        <f t="shared" si="1"/>
        <v>74606</v>
      </c>
    </row>
    <row r="22" spans="1:10" s="2" customFormat="1" x14ac:dyDescent="0.25">
      <c r="A22" s="2" t="s">
        <v>18</v>
      </c>
      <c r="B22" s="17">
        <v>38337</v>
      </c>
      <c r="C22" s="17">
        <v>46934</v>
      </c>
      <c r="D22" s="17">
        <v>23386</v>
      </c>
      <c r="E22" s="17">
        <v>21301</v>
      </c>
      <c r="F22" s="17">
        <v>24051</v>
      </c>
      <c r="G22" s="17">
        <v>14224</v>
      </c>
      <c r="H22" s="17">
        <v>6835</v>
      </c>
      <c r="I22" s="17">
        <v>432</v>
      </c>
      <c r="J22" s="17">
        <f t="shared" si="1"/>
        <v>175500</v>
      </c>
    </row>
    <row r="23" spans="1:10" s="2" customFormat="1" x14ac:dyDescent="0.25">
      <c r="A23" s="10" t="s">
        <v>17</v>
      </c>
      <c r="B23" s="16">
        <v>54511</v>
      </c>
      <c r="C23" s="16">
        <v>76010</v>
      </c>
      <c r="D23" s="16">
        <v>67612</v>
      </c>
      <c r="E23" s="16">
        <v>41824</v>
      </c>
      <c r="F23" s="16">
        <v>29538</v>
      </c>
      <c r="G23" s="16">
        <v>13645</v>
      </c>
      <c r="H23" s="16">
        <v>6375</v>
      </c>
      <c r="I23" s="16">
        <v>640</v>
      </c>
      <c r="J23" s="16">
        <f t="shared" si="1"/>
        <v>290155</v>
      </c>
    </row>
    <row r="24" spans="1:10" s="2" customFormat="1" x14ac:dyDescent="0.25">
      <c r="A24" s="2" t="s">
        <v>16</v>
      </c>
      <c r="B24" s="17">
        <v>18310</v>
      </c>
      <c r="C24" s="17">
        <v>22549</v>
      </c>
      <c r="D24" s="17">
        <v>24087</v>
      </c>
      <c r="E24" s="17">
        <v>20016</v>
      </c>
      <c r="F24" s="17">
        <v>19642</v>
      </c>
      <c r="G24" s="17">
        <v>9934</v>
      </c>
      <c r="H24" s="17">
        <v>4659</v>
      </c>
      <c r="I24" s="17">
        <v>329</v>
      </c>
      <c r="J24" s="17">
        <f t="shared" si="1"/>
        <v>119526</v>
      </c>
    </row>
    <row r="25" spans="1:10" s="2" customFormat="1" x14ac:dyDescent="0.25">
      <c r="A25" s="10" t="s">
        <v>15</v>
      </c>
      <c r="B25" s="16">
        <v>17379</v>
      </c>
      <c r="C25" s="16">
        <v>5992</v>
      </c>
      <c r="D25" s="16">
        <v>3697</v>
      </c>
      <c r="E25" s="16">
        <v>3441</v>
      </c>
      <c r="F25" s="16">
        <v>3613</v>
      </c>
      <c r="G25" s="16">
        <v>1898</v>
      </c>
      <c r="H25" s="16">
        <v>1418</v>
      </c>
      <c r="I25" s="16">
        <v>214</v>
      </c>
      <c r="J25" s="16">
        <f t="shared" si="1"/>
        <v>37652</v>
      </c>
    </row>
    <row r="26" spans="1:10" s="2" customFormat="1" x14ac:dyDescent="0.25">
      <c r="A26" s="2" t="s">
        <v>14</v>
      </c>
      <c r="B26" s="17">
        <v>918</v>
      </c>
      <c r="C26" s="17">
        <v>12262</v>
      </c>
      <c r="D26" s="17">
        <v>10984</v>
      </c>
      <c r="E26" s="17">
        <v>5838</v>
      </c>
      <c r="F26" s="17">
        <v>5400</v>
      </c>
      <c r="G26" s="17">
        <v>4488</v>
      </c>
      <c r="H26" s="17">
        <v>2880</v>
      </c>
      <c r="I26" s="17">
        <v>181</v>
      </c>
      <c r="J26" s="17">
        <f t="shared" si="1"/>
        <v>42951</v>
      </c>
    </row>
    <row r="27" spans="1:10" s="2" customFormat="1" x14ac:dyDescent="0.25">
      <c r="A27" s="10" t="s">
        <v>13</v>
      </c>
      <c r="B27" s="16">
        <v>11207</v>
      </c>
      <c r="C27" s="16">
        <v>10105</v>
      </c>
      <c r="D27" s="16">
        <v>6948</v>
      </c>
      <c r="E27" s="16">
        <v>6409</v>
      </c>
      <c r="F27" s="16">
        <v>6482</v>
      </c>
      <c r="G27" s="16">
        <v>2498</v>
      </c>
      <c r="H27" s="16">
        <v>709</v>
      </c>
      <c r="I27" s="16">
        <v>53</v>
      </c>
      <c r="J27" s="16">
        <f t="shared" si="1"/>
        <v>44411</v>
      </c>
    </row>
    <row r="28" spans="1:10" s="2" customFormat="1" x14ac:dyDescent="0.25">
      <c r="A28" s="2" t="s">
        <v>59</v>
      </c>
      <c r="B28" s="17">
        <v>4504</v>
      </c>
      <c r="C28" s="17">
        <v>3766</v>
      </c>
      <c r="D28" s="17">
        <v>2763</v>
      </c>
      <c r="E28" s="17">
        <v>1817</v>
      </c>
      <c r="F28" s="17">
        <v>1363</v>
      </c>
      <c r="G28" s="17">
        <v>196</v>
      </c>
      <c r="H28" s="17">
        <v>31</v>
      </c>
      <c r="I28" s="17">
        <v>5</v>
      </c>
      <c r="J28" s="17">
        <f t="shared" si="1"/>
        <v>14445</v>
      </c>
    </row>
    <row r="29" spans="1:10" s="2" customFormat="1" x14ac:dyDescent="0.25">
      <c r="A29" s="10" t="s">
        <v>12</v>
      </c>
      <c r="B29" s="16">
        <v>20477</v>
      </c>
      <c r="C29" s="16">
        <v>18073</v>
      </c>
      <c r="D29" s="16">
        <v>7463</v>
      </c>
      <c r="E29" s="16">
        <v>7163</v>
      </c>
      <c r="F29" s="16">
        <v>8987</v>
      </c>
      <c r="G29" s="16">
        <v>4182</v>
      </c>
      <c r="H29" s="16">
        <v>1245</v>
      </c>
      <c r="I29" s="16">
        <v>56</v>
      </c>
      <c r="J29" s="16">
        <f t="shared" si="1"/>
        <v>67646</v>
      </c>
    </row>
    <row r="30" spans="1:10" s="2" customFormat="1" x14ac:dyDescent="0.25">
      <c r="A30" s="2" t="s">
        <v>11</v>
      </c>
      <c r="B30" s="17">
        <v>50148</v>
      </c>
      <c r="C30" s="17">
        <v>37138</v>
      </c>
      <c r="D30" s="17">
        <v>19945</v>
      </c>
      <c r="E30" s="17">
        <v>17939</v>
      </c>
      <c r="F30" s="17">
        <v>17327</v>
      </c>
      <c r="G30" s="17">
        <v>10343</v>
      </c>
      <c r="H30" s="17">
        <v>3122</v>
      </c>
      <c r="I30" s="17">
        <v>167</v>
      </c>
      <c r="J30" s="17">
        <f t="shared" si="1"/>
        <v>156129</v>
      </c>
    </row>
    <row r="31" spans="1:10" s="2" customFormat="1" x14ac:dyDescent="0.25">
      <c r="A31" s="10" t="s">
        <v>10</v>
      </c>
      <c r="B31" s="16">
        <v>2087</v>
      </c>
      <c r="C31" s="16">
        <v>2784</v>
      </c>
      <c r="D31" s="16">
        <v>2405</v>
      </c>
      <c r="E31" s="16">
        <v>1904</v>
      </c>
      <c r="F31" s="16">
        <v>1562</v>
      </c>
      <c r="G31" s="16">
        <v>375</v>
      </c>
      <c r="H31" s="16">
        <v>24</v>
      </c>
      <c r="I31" s="16">
        <v>5</v>
      </c>
      <c r="J31" s="16">
        <f t="shared" si="1"/>
        <v>11146</v>
      </c>
    </row>
    <row r="32" spans="1:10" s="2" customFormat="1" x14ac:dyDescent="0.25">
      <c r="A32" s="2" t="s">
        <v>9</v>
      </c>
      <c r="B32" s="17">
        <v>8061</v>
      </c>
      <c r="C32" s="17">
        <v>14365</v>
      </c>
      <c r="D32" s="17">
        <v>12496</v>
      </c>
      <c r="E32" s="17">
        <v>11436</v>
      </c>
      <c r="F32" s="17">
        <v>11903</v>
      </c>
      <c r="G32" s="17">
        <v>8101</v>
      </c>
      <c r="H32" s="17">
        <v>6531</v>
      </c>
      <c r="I32" s="17">
        <v>683</v>
      </c>
      <c r="J32" s="17">
        <f t="shared" si="1"/>
        <v>73576</v>
      </c>
    </row>
    <row r="33" spans="1:10" s="2" customFormat="1" x14ac:dyDescent="0.25">
      <c r="A33" s="10" t="s">
        <v>8</v>
      </c>
      <c r="B33" s="16">
        <v>11379</v>
      </c>
      <c r="C33" s="16">
        <v>24310</v>
      </c>
      <c r="D33" s="16">
        <v>14756</v>
      </c>
      <c r="E33" s="16">
        <v>13070</v>
      </c>
      <c r="F33" s="16">
        <v>11439</v>
      </c>
      <c r="G33" s="16">
        <v>6976</v>
      </c>
      <c r="H33" s="16">
        <v>4201</v>
      </c>
      <c r="I33" s="16">
        <v>204</v>
      </c>
      <c r="J33" s="16">
        <f t="shared" si="1"/>
        <v>86335</v>
      </c>
    </row>
    <row r="34" spans="1:10" s="2" customFormat="1" x14ac:dyDescent="0.25">
      <c r="A34" s="2" t="s">
        <v>7</v>
      </c>
      <c r="B34" s="17">
        <v>15575</v>
      </c>
      <c r="C34" s="17">
        <v>12386</v>
      </c>
      <c r="D34" s="17">
        <v>7130</v>
      </c>
      <c r="E34" s="17">
        <v>6157</v>
      </c>
      <c r="F34" s="17">
        <v>6484</v>
      </c>
      <c r="G34" s="17">
        <v>4976</v>
      </c>
      <c r="H34" s="17">
        <v>4653</v>
      </c>
      <c r="I34" s="17">
        <v>486</v>
      </c>
      <c r="J34" s="17">
        <f t="shared" si="1"/>
        <v>57847</v>
      </c>
    </row>
    <row r="35" spans="1:10" s="2" customFormat="1" x14ac:dyDescent="0.25">
      <c r="A35" s="10" t="s">
        <v>6</v>
      </c>
      <c r="B35" s="16">
        <v>2859</v>
      </c>
      <c r="C35" s="16">
        <v>1799</v>
      </c>
      <c r="D35" s="16">
        <v>2799</v>
      </c>
      <c r="E35" s="16">
        <v>1875</v>
      </c>
      <c r="F35" s="16">
        <v>1512</v>
      </c>
      <c r="G35" s="16">
        <v>318</v>
      </c>
      <c r="H35" s="16">
        <v>68</v>
      </c>
      <c r="I35" s="16">
        <v>1</v>
      </c>
      <c r="J35" s="16">
        <f t="shared" si="1"/>
        <v>11231</v>
      </c>
    </row>
    <row r="36" spans="1:10" s="2" customFormat="1" x14ac:dyDescent="0.25">
      <c r="A36" s="2" t="s">
        <v>5</v>
      </c>
      <c r="B36" s="17">
        <v>6626</v>
      </c>
      <c r="C36" s="17">
        <v>12394</v>
      </c>
      <c r="D36" s="17">
        <v>8762</v>
      </c>
      <c r="E36" s="17">
        <v>8457</v>
      </c>
      <c r="F36" s="17">
        <v>9633</v>
      </c>
      <c r="G36" s="17">
        <v>5284</v>
      </c>
      <c r="H36" s="17">
        <v>3434</v>
      </c>
      <c r="I36" s="17">
        <v>303</v>
      </c>
      <c r="J36" s="17">
        <f t="shared" si="1"/>
        <v>54893</v>
      </c>
    </row>
    <row r="37" spans="1:10" s="2" customFormat="1" x14ac:dyDescent="0.25">
      <c r="A37" s="10" t="s">
        <v>4</v>
      </c>
      <c r="B37" s="16">
        <v>34209</v>
      </c>
      <c r="C37" s="16">
        <v>29618</v>
      </c>
      <c r="D37" s="16">
        <v>26331</v>
      </c>
      <c r="E37" s="16">
        <v>21873</v>
      </c>
      <c r="F37" s="16">
        <v>20499</v>
      </c>
      <c r="G37" s="16">
        <v>13727</v>
      </c>
      <c r="H37" s="16">
        <v>7056</v>
      </c>
      <c r="I37" s="16">
        <v>574</v>
      </c>
      <c r="J37" s="16">
        <f t="shared" si="1"/>
        <v>153887</v>
      </c>
    </row>
    <row r="38" spans="1:10" s="2" customFormat="1" x14ac:dyDescent="0.25">
      <c r="A38" s="2" t="s">
        <v>3</v>
      </c>
      <c r="B38" s="17">
        <v>5319</v>
      </c>
      <c r="C38" s="17">
        <v>8216</v>
      </c>
      <c r="D38" s="17">
        <v>4282</v>
      </c>
      <c r="E38" s="17">
        <v>4788</v>
      </c>
      <c r="F38" s="17">
        <v>6390</v>
      </c>
      <c r="G38" s="17">
        <v>5287</v>
      </c>
      <c r="H38" s="17">
        <v>5475</v>
      </c>
      <c r="I38" s="17">
        <v>737</v>
      </c>
      <c r="J38" s="17">
        <f t="shared" si="1"/>
        <v>40494</v>
      </c>
    </row>
    <row r="39" spans="1:10" s="2" customFormat="1" x14ac:dyDescent="0.25">
      <c r="A39" s="10" t="s">
        <v>2</v>
      </c>
      <c r="B39" s="16">
        <v>7148</v>
      </c>
      <c r="C39" s="16">
        <v>16387</v>
      </c>
      <c r="D39" s="16">
        <v>7650</v>
      </c>
      <c r="E39" s="16">
        <v>6091</v>
      </c>
      <c r="F39" s="16">
        <v>4780</v>
      </c>
      <c r="G39" s="16">
        <v>1740</v>
      </c>
      <c r="H39" s="16">
        <v>836</v>
      </c>
      <c r="I39" s="16">
        <v>67</v>
      </c>
      <c r="J39" s="16">
        <f t="shared" si="1"/>
        <v>44699</v>
      </c>
    </row>
    <row r="40" spans="1:10" s="2" customFormat="1" ht="13" thickBot="1" x14ac:dyDescent="0.3">
      <c r="A40" s="18" t="s">
        <v>1</v>
      </c>
      <c r="B40" s="18">
        <v>16702</v>
      </c>
      <c r="C40" s="18">
        <v>24436</v>
      </c>
      <c r="D40" s="18">
        <v>10492</v>
      </c>
      <c r="E40" s="18">
        <v>9234</v>
      </c>
      <c r="F40" s="18">
        <v>10483</v>
      </c>
      <c r="G40" s="18">
        <v>7358</v>
      </c>
      <c r="H40" s="18">
        <v>3269</v>
      </c>
      <c r="I40" s="18">
        <v>198</v>
      </c>
      <c r="J40" s="19">
        <f t="shared" si="1"/>
        <v>82172</v>
      </c>
    </row>
    <row r="41" spans="1:10" ht="25" customHeight="1" x14ac:dyDescent="0.3">
      <c r="A41" s="21" t="s">
        <v>63</v>
      </c>
    </row>
    <row r="42" spans="1:10" s="21" customFormat="1" x14ac:dyDescent="0.25">
      <c r="A42" s="20" t="s">
        <v>60</v>
      </c>
    </row>
  </sheetData>
  <hyperlinks>
    <hyperlink ref="D3" r:id="rId1" xr:uid="{00000000-0004-0000-0000-000000000000}"/>
  </hyperlinks>
  <pageMargins left="0.51181102362204722" right="0.31496062992125984" top="0.74803149606299213" bottom="0.55118110236220474" header="0.31496062992125984" footer="0.31496062992125984"/>
  <pageSetup paperSize="9" scale="97" fitToWidth="0" fitToHeight="0" orientation="portrait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etadata xmlns="http://www.objective.com/ecm/document/metadata/53D26341A57B383EE0540010E0463CCA" version="1.0.0">
  <systemFields>
    <field name="Objective-Id">
      <value order="0">A45639446</value>
    </field>
    <field name="Objective-Title">
      <value order="0">CTAXBASE 2023 - Tables - Chargeable Dwellings - FINAL</value>
    </field>
    <field name="Objective-Description">
      <value order="0"/>
    </field>
    <field name="Objective-CreationStamp">
      <value order="0">2023-10-18T16:56:21Z</value>
    </field>
    <field name="Objective-IsApproved">
      <value order="0">false</value>
    </field>
    <field name="Objective-IsPublished">
      <value order="0">false</value>
    </field>
    <field name="Objective-DatePublished">
      <value order="0"/>
    </field>
    <field name="Objective-ModificationStamp">
      <value order="0">2023-10-18T16:57:35Z</value>
    </field>
    <field name="Objective-Owner">
      <value order="0">Melling, Maria MA (u113209)</value>
    </field>
    <field name="Objective-Path">
      <value order="0">Objective Global Folder:SG File Plan:Government, politics and public administration:Local government:Finance - Council tax and non-domestic rates:Research and analysis: Finance - Council tax and non-domestic rates:Statistical: Statistical returns - Council tax 2023-24: Research and analysis: Finance - Council tax and Non domestic rates: 2023-2028</value>
    </field>
    <field name="Objective-Parent">
      <value order="0">Statistical: Statistical returns - Council tax 2023-24: Research and analysis: Finance - Council tax and Non domestic rates: 2023-2028</value>
    </field>
    <field name="Objective-State">
      <value order="0">Being Drafted</value>
    </field>
    <field name="Objective-VersionId">
      <value order="0">vA68415956</value>
    </field>
    <field name="Objective-Version">
      <value order="0">0.1</value>
    </field>
    <field name="Objective-VersionNumber">
      <value order="0">1</value>
    </field>
    <field name="Objective-VersionComment">
      <value order="0">First version</value>
    </field>
    <field name="Objective-FileNumber">
      <value order="0">PUBRES/4460</value>
    </field>
    <field name="Objective-Classification">
      <value order="0">OFFICIAL</value>
    </field>
    <field name="Objective-Caveats">
      <value order="0">Caveat for access to SG Fileplan</value>
    </field>
  </systemFields>
  <catalogues>
    <catalogue name="Document Type Catalogue" type="type" ori="id:cA35">
      <field name="Objective-Date of Original">
        <value order="0"/>
      </field>
      <field name="Objective-Date Received">
        <value order="0"/>
      </field>
      <field name="Objective-SG Web Publication - Category">
        <value order="0"/>
      </field>
      <field name="Objective-SG Web Publication - Category 2 Classification">
        <value order="0"/>
      </field>
      <field name="Objective-Connect Creator">
        <value order="0"/>
      </field>
      <field name="Objective-Required Redaction">
        <value order="0"/>
      </field>
    </catalogue>
  </catalogues>
</metadata>
</file>

<file path=customXml/itemProps1.xml><?xml version="1.0" encoding="utf-8"?>
<ds:datastoreItem xmlns:ds="http://schemas.openxmlformats.org/officeDocument/2006/customXml" ds:itemID="{5745109E-2DDF-40CB-AC2B-FF9B10C90820}">
  <ds:schemaRefs>
    <ds:schemaRef ds:uri="http://www.objective.com/ecm/document/metadata/53D26341A57B383EE0540010E0463CC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Chargeable Dwellings 2023</vt:lpstr>
      <vt:lpstr>'Chargeable Dwellings 2023'!Print_Area</vt:lpstr>
    </vt:vector>
  </TitlesOfParts>
  <Company>Scottish Government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Melling MA (Maria)</dc:creator>
  <cp:lastModifiedBy>u113209</cp:lastModifiedBy>
  <cp:lastPrinted>2018-10-11T10:50:57Z</cp:lastPrinted>
  <dcterms:created xsi:type="dcterms:W3CDTF">2013-10-22T12:42:21Z</dcterms:created>
  <dcterms:modified xsi:type="dcterms:W3CDTF">2023-10-19T15:18:24Z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ed by">
    <vt:lpwstr>32123</vt:lpwstr>
  </property>
  <property fmtid="{D5CDD505-2E9C-101B-9397-08002B2CF9AE}" pid="3" name="Objective-Id">
    <vt:lpwstr>A45639446</vt:lpwstr>
  </property>
  <property fmtid="{D5CDD505-2E9C-101B-9397-08002B2CF9AE}" pid="4" name="Objective-Title">
    <vt:lpwstr>CTAXBASE 2023 - Tables - Chargeable Dwellings - FINAL</vt:lpwstr>
  </property>
  <property fmtid="{D5CDD505-2E9C-101B-9397-08002B2CF9AE}" pid="5" name="Objective-Comment">
    <vt:lpwstr/>
  </property>
  <property fmtid="{D5CDD505-2E9C-101B-9397-08002B2CF9AE}" pid="6" name="Objective-CreationStamp">
    <vt:filetime>2023-10-18T16:57:10Z</vt:filetime>
  </property>
  <property fmtid="{D5CDD505-2E9C-101B-9397-08002B2CF9AE}" pid="7" name="Objective-IsApproved">
    <vt:bool>false</vt:bool>
  </property>
  <property fmtid="{D5CDD505-2E9C-101B-9397-08002B2CF9AE}" pid="8" name="Objective-IsPublished">
    <vt:bool>false</vt:bool>
  </property>
  <property fmtid="{D5CDD505-2E9C-101B-9397-08002B2CF9AE}" pid="9" name="Objective-DatePublished">
    <vt:lpwstr/>
  </property>
  <property fmtid="{D5CDD505-2E9C-101B-9397-08002B2CF9AE}" pid="10" name="Objective-ModificationStamp">
    <vt:filetime>2023-10-18T16:57:35Z</vt:filetime>
  </property>
  <property fmtid="{D5CDD505-2E9C-101B-9397-08002B2CF9AE}" pid="11" name="Objective-Owner">
    <vt:lpwstr>Melling, Maria MA (u113209)</vt:lpwstr>
  </property>
  <property fmtid="{D5CDD505-2E9C-101B-9397-08002B2CF9AE}" pid="12" name="Objective-Path">
    <vt:lpwstr>Objective Global Folder:SG File Plan:Government, politics and public administration:Local government:Finance - Council tax and non-domestic rates:Research and analysis: Finance - Council tax and non-domestic rates:Statistical: Statistical returns - Council tax 2023-24: Research and analysis: Finance - Council tax and Non domestic rates: 2023-2028:</vt:lpwstr>
  </property>
  <property fmtid="{D5CDD505-2E9C-101B-9397-08002B2CF9AE}" pid="13" name="Objective-Parent">
    <vt:lpwstr>Statistical: Statistical returns - Council tax 2023-24: Research and analysis: Finance - Council tax and Non domestic rates: 2023-2028</vt:lpwstr>
  </property>
  <property fmtid="{D5CDD505-2E9C-101B-9397-08002B2CF9AE}" pid="14" name="Objective-State">
    <vt:lpwstr>Being Drafted</vt:lpwstr>
  </property>
  <property fmtid="{D5CDD505-2E9C-101B-9397-08002B2CF9AE}" pid="15" name="Objective-Version">
    <vt:lpwstr>0.1</vt:lpwstr>
  </property>
  <property fmtid="{D5CDD505-2E9C-101B-9397-08002B2CF9AE}" pid="16" name="Objective-VersionNumber">
    <vt:r8>1</vt:r8>
  </property>
  <property fmtid="{D5CDD505-2E9C-101B-9397-08002B2CF9AE}" pid="17" name="Objective-VersionComment">
    <vt:lpwstr>First version</vt:lpwstr>
  </property>
  <property fmtid="{D5CDD505-2E9C-101B-9397-08002B2CF9AE}" pid="18" name="Objective-FileNumber">
    <vt:lpwstr/>
  </property>
  <property fmtid="{D5CDD505-2E9C-101B-9397-08002B2CF9AE}" pid="19" name="Objective-Classification">
    <vt:lpwstr>[Inherited - OFFICIAL]</vt:lpwstr>
  </property>
  <property fmtid="{D5CDD505-2E9C-101B-9397-08002B2CF9AE}" pid="20" name="Objective-Caveats">
    <vt:lpwstr/>
  </property>
  <property fmtid="{D5CDD505-2E9C-101B-9397-08002B2CF9AE}" pid="21" name="Objective-Date of Original [system]">
    <vt:lpwstr/>
  </property>
  <property fmtid="{D5CDD505-2E9C-101B-9397-08002B2CF9AE}" pid="22" name="Objective-Date Received [system]">
    <vt:lpwstr/>
  </property>
  <property fmtid="{D5CDD505-2E9C-101B-9397-08002B2CF9AE}" pid="23" name="Objective-SG Web Publication - Category [system]">
    <vt:lpwstr/>
  </property>
  <property fmtid="{D5CDD505-2E9C-101B-9397-08002B2CF9AE}" pid="24" name="Objective-SG Web Publication - Category 2 Classification [system]">
    <vt:lpwstr/>
  </property>
  <property fmtid="{D5CDD505-2E9C-101B-9397-08002B2CF9AE}" pid="25" name="Objective-Description">
    <vt:lpwstr/>
  </property>
  <property fmtid="{D5CDD505-2E9C-101B-9397-08002B2CF9AE}" pid="26" name="Objective-VersionId">
    <vt:lpwstr>vA68415956</vt:lpwstr>
  </property>
  <property fmtid="{D5CDD505-2E9C-101B-9397-08002B2CF9AE}" pid="27" name="Objective-Date Received">
    <vt:lpwstr/>
  </property>
  <property fmtid="{D5CDD505-2E9C-101B-9397-08002B2CF9AE}" pid="28" name="Objective-Date of Original">
    <vt:lpwstr/>
  </property>
  <property fmtid="{D5CDD505-2E9C-101B-9397-08002B2CF9AE}" pid="29" name="Objective-SG Web Publication - Category">
    <vt:lpwstr/>
  </property>
  <property fmtid="{D5CDD505-2E9C-101B-9397-08002B2CF9AE}" pid="30" name="Objective-SG Web Publication - Category 2 Classification">
    <vt:lpwstr/>
  </property>
  <property fmtid="{D5CDD505-2E9C-101B-9397-08002B2CF9AE}" pid="31" name="Objective-Connect Creator">
    <vt:lpwstr/>
  </property>
  <property fmtid="{D5CDD505-2E9C-101B-9397-08002B2CF9AE}" pid="32" name="Objective-Connect Creator [system]">
    <vt:lpwstr/>
  </property>
  <property fmtid="{D5CDD505-2E9C-101B-9397-08002B2CF9AE}" pid="33" name="Objective-Required Redaction">
    <vt:lpwstr/>
  </property>
</Properties>
</file>